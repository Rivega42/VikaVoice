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Edge (Pi 5)" sheetId="1" state="visible" r:id="rId3"/>
    <sheet name="BOM тонкое устройство" sheetId="2" state="visible" r:id="rId4"/>
    <sheet name="Сводка и допущени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<sst xmlns="http://schemas.openxmlformats.org/spreadsheetml/2006/main" count="272" uniqueCount="160">
  <si>
    <t xml:space="preserve">BOM — устройство, редакция Edge (на Raspberry Pi 5)</t>
  </si>
  <si>
    <t xml:space="preserve">№</t>
  </si>
  <si>
    <t xml:space="preserve">Категория</t>
  </si>
  <si>
    <t xml:space="preserve">Компонент / позиция</t>
  </si>
  <si>
    <t xml:space="preserve">Назначение</t>
  </si>
  <si>
    <t xml:space="preserve">Пример исполнения / производитель</t>
  </si>
  <si>
    <t xml:space="preserve">Тип</t>
  </si>
  <si>
    <t xml:space="preserve">Кол-во</t>
  </si>
  <si>
    <t xml:space="preserve">Ед.</t>
  </si>
  <si>
    <t xml:space="preserve">Цена/ед., $</t>
  </si>
  <si>
    <t xml:space="preserve">Сумма, $</t>
  </si>
  <si>
    <t xml:space="preserve">Поставщик / источник</t>
  </si>
  <si>
    <t xml:space="preserve">Примечание</t>
  </si>
  <si>
    <t xml:space="preserve">Вычисление</t>
  </si>
  <si>
    <t xml:space="preserve">Одноплатный компьютер, 8 ГБ ОЗУ</t>
  </si>
  <si>
    <t xml:space="preserve">Основной вычислитель: обработка звука, распознавание речи, диаризация</t>
  </si>
  <si>
    <t xml:space="preserve">Raspberry Pi 5, 8 ГБ</t>
  </si>
  <si>
    <t xml:space="preserve">База</t>
  </si>
  <si>
    <t xml:space="preserve">шт</t>
  </si>
  <si>
    <t xml:space="preserve">Цена выросла из-за дефицита DRAM (2026); до кризиса ~$80</t>
  </si>
  <si>
    <t xml:space="preserve">Активное охлаждение</t>
  </si>
  <si>
    <t xml:space="preserve">Отвод тепла процессора под нагрузкой</t>
  </si>
  <si>
    <t xml:space="preserve">Радиатор + вентилятор (Active Cooler)</t>
  </si>
  <si>
    <t xml:space="preserve">Блок питания 27 Вт USB-C PD</t>
  </si>
  <si>
    <t xml:space="preserve">Электропитание устройства</t>
  </si>
  <si>
    <t xml:space="preserve">5 В / 5 А, USB-C PD</t>
  </si>
  <si>
    <t xml:space="preserve">Плата-адаптер M.2 (PCIe)</t>
  </si>
  <si>
    <t xml:space="preserve">Подключение твердотельного накопителя</t>
  </si>
  <si>
    <t xml:space="preserve">M.2 HAT+</t>
  </si>
  <si>
    <t xml:space="preserve">Накопитель NVMe SSD 256 ГБ</t>
  </si>
  <si>
    <t xml:space="preserve">Система и хранение аудиозаписей/стенограмм</t>
  </si>
  <si>
    <t xml:space="preserve">M.2 2280 NVMe</t>
  </si>
  <si>
    <t xml:space="preserve">Цена NAND выросла ~60% (2026)</t>
  </si>
  <si>
    <t xml:space="preserve">Карта microSD 32 ГБ</t>
  </si>
  <si>
    <t xml:space="preserve">Первичная загрузка / резерв</t>
  </si>
  <si>
    <t xml:space="preserve">microSD, класс A1</t>
  </si>
  <si>
    <t xml:space="preserve">Нейроускоритель M.2</t>
  </si>
  <si>
    <t xml:space="preserve">Ускорение распознавания речи на устройстве</t>
  </si>
  <si>
    <t xml:space="preserve">Hailo-8L (13 трлн оп/с)</t>
  </si>
  <si>
    <t xml:space="preserve">Опция</t>
  </si>
  <si>
    <t xml:space="preserve">Занимает слот M.2 — нужен двойной адаптер или загрузка с microSD</t>
  </si>
  <si>
    <t xml:space="preserve">Звуковой тракт</t>
  </si>
  <si>
    <t xml:space="preserve">Микрофонный массив с аппаратным DSP (USB)</t>
  </si>
  <si>
    <t xml:space="preserve">Приём звука, формирование направленного луча, определение направления, эхоподавление</t>
  </si>
  <si>
    <t xml:space="preserve">ReSpeaker USB Mic Array v2.0 (XVF-3000), 4 мик.</t>
  </si>
  <si>
    <t xml:space="preserve">Прототип: USB, совместим с Pi 5. Дешёвый 6-мик HAT снят с поддержки (до Pi 4); серия — кастомный MEMS-массив на XVF-3800</t>
  </si>
  <si>
    <t xml:space="preserve">Индикация / управление</t>
  </si>
  <si>
    <t xml:space="preserve">Информационный экран</t>
  </si>
  <si>
    <t xml:space="preserve">Статус, таймер, имена участников</t>
  </si>
  <si>
    <t xml:space="preserve">Круглый IPS LCD 1.28" (240×240)</t>
  </si>
  <si>
    <t xml:space="preserve">Кольцевой световой индикатор</t>
  </si>
  <si>
    <t xml:space="preserve">Запись/пауза/готовность, подсветка сектора говорящего</t>
  </si>
  <si>
    <t xml:space="preserve">Адресные RGB-светодиоды (24 шт)</t>
  </si>
  <si>
    <t xml:space="preserve">Может быть встроен в USB-массив (12 светодиодов) — тогда не требуется</t>
  </si>
  <si>
    <t xml:space="preserve">Кнопка аппаратного отключения микрофонов</t>
  </si>
  <si>
    <t xml:space="preserve">Гарантированный разрыв звукового тракта</t>
  </si>
  <si>
    <t xml:space="preserve">Тактовая кнопка + переключатель питания</t>
  </si>
  <si>
    <t xml:space="preserve">Кнопки управления</t>
  </si>
  <si>
    <t xml:space="preserve">Запись / метка важного момента / пауза</t>
  </si>
  <si>
    <t xml:space="preserve">Тактовые кнопки</t>
  </si>
  <si>
    <t xml:space="preserve">Часы реального времени (RTC)</t>
  </si>
  <si>
    <t xml:space="preserve">Датировка записей в автономном режиме</t>
  </si>
  <si>
    <t xml:space="preserve">Модуль DS3231 + батарейка</t>
  </si>
  <si>
    <t xml:space="preserve">Питание (автономность)</t>
  </si>
  <si>
    <t xml:space="preserve">Модуль ИБП / контроллер заряда</t>
  </si>
  <si>
    <t xml:space="preserve">Автономная работа без сети</t>
  </si>
  <si>
    <t xml:space="preserve">UPS HAT</t>
  </si>
  <si>
    <t xml:space="preserve">Опционально</t>
  </si>
  <si>
    <t xml:space="preserve">Аккумуляторы Li-ion 18650 + держатель</t>
  </si>
  <si>
    <t xml:space="preserve">Резервное питание</t>
  </si>
  <si>
    <t xml:space="preserve">2× 3500 мА·ч</t>
  </si>
  <si>
    <t xml:space="preserve">Аудиовывод</t>
  </si>
  <si>
    <t xml:space="preserve">Динамик + усилитель</t>
  </si>
  <si>
    <t xml:space="preserve">Голосовые подсказки, воспроизведение, синтез речи</t>
  </si>
  <si>
    <t xml:space="preserve">Динамик 3–5 Вт + плата усилителя</t>
  </si>
  <si>
    <t xml:space="preserve">Корпус и механика</t>
  </si>
  <si>
    <t xml:space="preserve">Корпус устройства</t>
  </si>
  <si>
    <t xml:space="preserve">Конструктив настольного исполнения</t>
  </si>
  <si>
    <t xml:space="preserve">Прототип: 3D-печать (SLA/FDM)</t>
  </si>
  <si>
    <t xml:space="preserve">компл</t>
  </si>
  <si>
    <t xml:space="preserve">Серия — литьё под давлением (пресс-форма, NRE в сводке)</t>
  </si>
  <si>
    <t xml:space="preserve">Акустическая ткань / сетка</t>
  </si>
  <si>
    <t xml:space="preserve">Защита и акустика микрофонных окон</t>
  </si>
  <si>
    <t xml:space="preserve">Ткань для динамиков</t>
  </si>
  <si>
    <t xml:space="preserve">Светорассеивающее кольцо (диффузор)</t>
  </si>
  <si>
    <t xml:space="preserve">Равномерная подсветка индикатора</t>
  </si>
  <si>
    <t xml:space="preserve">Полупрозрачный пластик</t>
  </si>
  <si>
    <t xml:space="preserve">Противоскользящее основание / ножки</t>
  </si>
  <si>
    <t xml:space="preserve">Устойчивость на столе</t>
  </si>
  <si>
    <t xml:space="preserve">Резиновые ножки</t>
  </si>
  <si>
    <t xml:space="preserve">Крепёж, стойки, винты</t>
  </si>
  <si>
    <t xml:space="preserve">Сборка конструктива</t>
  </si>
  <si>
    <t xml:space="preserve">Метизы M2.5/M3, стойки</t>
  </si>
  <si>
    <t xml:space="preserve">Внутренние шлейфы и провода</t>
  </si>
  <si>
    <t xml:space="preserve">Межплатные соединения</t>
  </si>
  <si>
    <t xml:space="preserve">FFC-шлейфы, провода, коннекторы</t>
  </si>
  <si>
    <t xml:space="preserve">Термоинтерфейс</t>
  </si>
  <si>
    <t xml:space="preserve">Теплоотвод</t>
  </si>
  <si>
    <t xml:space="preserve">Термопрокладки</t>
  </si>
  <si>
    <t xml:space="preserve">Сборка</t>
  </si>
  <si>
    <t xml:space="preserve">Сборка и тестирование</t>
  </si>
  <si>
    <t xml:space="preserve">Монтаж и проверка (штучно)</t>
  </si>
  <si>
    <t xml:space="preserve">Труд</t>
  </si>
  <si>
    <t xml:space="preserve">Ориентир для прототипной сборки</t>
  </si>
  <si>
    <t xml:space="preserve">ИТОГО базовая конфигурация, $</t>
  </si>
  <si>
    <t xml:space="preserve">ИТОГО опции (дополнительно), $</t>
  </si>
  <si>
    <t xml:space="preserve">ИТОГО с опциями, $</t>
  </si>
  <si>
    <t xml:space="preserve">BOM — тонкое устройство (облако / on-premise)</t>
  </si>
  <si>
    <t xml:space="preserve">Одноплатный компьютер</t>
  </si>
  <si>
    <t xml:space="preserve">Захват и потоковая передача звука в облако/контур</t>
  </si>
  <si>
    <t xml:space="preserve">Raspberry Pi Zero 2 W</t>
  </si>
  <si>
    <t xml:space="preserve">Не затронут дефицитом DRAM; для 6–8 каналов возможен Pi 4 2 ГБ (~$45)</t>
  </si>
  <si>
    <t xml:space="preserve">Блок питания USB-C 5 В / 3 А</t>
  </si>
  <si>
    <t xml:space="preserve">Электропитание</t>
  </si>
  <si>
    <t xml:space="preserve">15 Вт, USB-C</t>
  </si>
  <si>
    <t xml:space="preserve">Карта microSD 16 ГБ</t>
  </si>
  <si>
    <t xml:space="preserve">Загрузка операционной системы</t>
  </si>
  <si>
    <t xml:space="preserve">Приём звука, направленный луч, определение направления, эхоподавление</t>
  </si>
  <si>
    <t xml:space="preserve">ReSpeaker USB Mic Array v2.0</t>
  </si>
  <si>
    <t xml:space="preserve">Световая индикация</t>
  </si>
  <si>
    <t xml:space="preserve">Запись / готовность</t>
  </si>
  <si>
    <t xml:space="preserve">RGB-светодиоды</t>
  </si>
  <si>
    <t xml:space="preserve">Кнопка отключения микрофонов</t>
  </si>
  <si>
    <t xml:space="preserve">Разрыв звукового тракта</t>
  </si>
  <si>
    <t xml:space="preserve">Кнопка / переключатель</t>
  </si>
  <si>
    <t xml:space="preserve">Конструктив</t>
  </si>
  <si>
    <t xml:space="preserve">3D-печать (прототип)</t>
  </si>
  <si>
    <t xml:space="preserve">Крепёж и провода</t>
  </si>
  <si>
    <t xml:space="preserve">Метизы, провода</t>
  </si>
  <si>
    <t xml:space="preserve">Монтаж и проверка</t>
  </si>
  <si>
    <t xml:space="preserve">BOM — сводка по комплексу записи и транскрибации переговоров</t>
  </si>
  <si>
    <t xml:space="preserve">Курс USD/RUB (редактируемое допущение):</t>
  </si>
  <si>
    <t xml:space="preserve">укажите актуальный курс</t>
  </si>
  <si>
    <t xml:space="preserve">Себестоимость комплектующих (ориентир, прототипная партия)</t>
  </si>
  <si>
    <t xml:space="preserve">Конфигурация</t>
  </si>
  <si>
    <t xml:space="preserve">Сумма, ₽</t>
  </si>
  <si>
    <t xml:space="preserve">Edge — базовая конфигурация</t>
  </si>
  <si>
    <t xml:space="preserve">Edge — опции (дополнительно)</t>
  </si>
  <si>
    <t xml:space="preserve">Edge — с опциями</t>
  </si>
  <si>
    <t xml:space="preserve">Тонкое устройство — базовая</t>
  </si>
  <si>
    <t xml:space="preserve">Что НЕ входит в BOM (отдельные статьи затрат)</t>
  </si>
  <si>
    <t xml:space="preserve">•  Разработка программного обеспечения: распознавание речи, диаризация, запоминание голоса участников, смысловой анализ.</t>
  </si>
  <si>
    <t xml:space="preserve">•  Серверное оборудование для облачной и on-premise редакций.</t>
  </si>
  <si>
    <t xml:space="preserve">•  Кастомный микрофонный массив 6–8 микрофонов на XVF-3800 (разработка платы и прошивки).</t>
  </si>
  <si>
    <t xml:space="preserve">•  Пресс-форма корпуса для серийного производства.</t>
  </si>
  <si>
    <t xml:space="preserve">•  Сертификация (декларирование соответствия, ЕАС); меры по защите биометрических данных (152-ФЗ).</t>
  </si>
  <si>
    <t xml:space="preserve">•  Логистика, таможенные пошлины, НДС.</t>
  </si>
  <si>
    <t xml:space="preserve">•  Лицензии и модели при использовании платных сервисов распознавания речи / языковых моделей.</t>
  </si>
  <si>
    <t xml:space="preserve">Ориентиры одноразовых затрат (NRE) — грубо, требуют уточнения у подрядчиков</t>
  </si>
  <si>
    <t xml:space="preserve">•  Кастомный микрофонный массив (плата + прошивка XVF-3800)</t>
  </si>
  <si>
    <t xml:space="preserve">$15 000 – 40 000</t>
  </si>
  <si>
    <t xml:space="preserve">•  Пресс-форма корпуса для серии</t>
  </si>
  <si>
    <t xml:space="preserve">$10 000 – 30 000</t>
  </si>
  <si>
    <t xml:space="preserve">•  Сертификация</t>
  </si>
  <si>
    <t xml:space="preserve">индивидуально</t>
  </si>
  <si>
    <t xml:space="preserve">Допущения</t>
  </si>
  <si>
    <t xml:space="preserve">•  Валюта — доллары США; цены ориентировочные, для прототипной партии (1–10 шт), без доставки, пошлин и НДС.</t>
  </si>
  <si>
    <t xml:space="preserve">•  Начало 2026: дефицит DRAM/NAND — вычислитель и накопители временно дороже; при нормализации рынка себестоимость снизится.</t>
  </si>
  <si>
    <t xml:space="preserve">•  Микрофонный массив: прототип — готовый USB-модуль с аппаратным формированием луча / определением направления / эхоподавлением; серия — собственная плата 6–8 MEMS (XVF-3800): дешевле в объёме, но требует NRE.</t>
  </si>
  <si>
    <t xml:space="preserve">•  При серийных объёмах комплектующие дешевле ориентировочно на 25–45%.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</si>
</sst>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#,##0&quot; ₽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5" min="4" style="0" width="30"/>
    <col collapsed="false" customWidth="true" hidden="false" outlineLevel="0" max="7" min="6" style="0" width="7"/>
    <col collapsed="false" customWidth="true" hidden="false" outlineLevel="0" max="8" min="8" style="0" width="6"/>
    <col collapsed="false" customWidth="true" hidden="false" outlineLevel="0" max="10" min="9" style="0" width="11"/>
    <col collapsed="false" customWidth="true" hidden="false" outlineLevel="0" max="11" min="11" style="0" width="20"/>
    <col collapsed="false" customWidth="true" hidden="false" outlineLevel="0" max="12" min="12" style="0" width="3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32.8" hidden="false" customHeight="false" outlineLevel="0" collapsed="false">
      <c r="A3" s="3" t="n">
        <v>1</v>
      </c>
      <c r="B3" s="4" t="s">
        <v>13</v>
      </c>
      <c r="C3" s="5" t="s">
        <v>14</v>
      </c>
      <c r="D3" s="5" t="s">
        <v>15</v>
      </c>
      <c r="E3" s="5" t="s">
        <v>16</v>
      </c>
      <c r="F3" s="3" t="s">
        <v>17</v>
      </c>
      <c r="G3" s="3" t="n">
        <v>1</v>
      </c>
      <c r="H3" s="3" t="s">
        <v>18</v>
      </c>
      <c r="I3" s="6" t="n">
        <v>120</v>
      </c>
      <c r="J3" s="6" t="n">
        <f aca="false">G3*I3</f>
        <v>120</v>
      </c>
      <c r="K3" s="5" t="s">
        <v>19</v>
      </c>
      <c r="L3" s="5"/>
    </row>
    <row r="4" customFormat="false" ht="22.35" hidden="false" customHeight="false" outlineLevel="0" collapsed="false">
      <c r="A4" s="3" t="n">
        <v>2</v>
      </c>
      <c r="B4" s="4" t="s">
        <v>13</v>
      </c>
      <c r="C4" s="5" t="s">
        <v>20</v>
      </c>
      <c r="D4" s="5" t="s">
        <v>21</v>
      </c>
      <c r="E4" s="5" t="s">
        <v>22</v>
      </c>
      <c r="F4" s="3" t="s">
        <v>17</v>
      </c>
      <c r="G4" s="3" t="n">
        <v>1</v>
      </c>
      <c r="H4" s="3" t="s">
        <v>18</v>
      </c>
      <c r="I4" s="6" t="n">
        <v>6</v>
      </c>
      <c r="J4" s="6" t="n">
        <f aca="false">G4*I4</f>
        <v>6</v>
      </c>
      <c r="K4" s="5"/>
      <c r="L4" s="5"/>
    </row>
    <row r="5" customFormat="false" ht="15" hidden="false" customHeight="false" outlineLevel="0" collapsed="false">
      <c r="A5" s="3" t="n">
        <v>3</v>
      </c>
      <c r="B5" s="4" t="s">
        <v>13</v>
      </c>
      <c r="C5" s="5" t="s">
        <v>23</v>
      </c>
      <c r="D5" s="5" t="s">
        <v>24</v>
      </c>
      <c r="E5" s="5" t="s">
        <v>25</v>
      </c>
      <c r="F5" s="3" t="s">
        <v>17</v>
      </c>
      <c r="G5" s="3" t="n">
        <v>1</v>
      </c>
      <c r="H5" s="3" t="s">
        <v>18</v>
      </c>
      <c r="I5" s="6" t="n">
        <v>14</v>
      </c>
      <c r="J5" s="6" t="n">
        <f aca="false">G5*I5</f>
        <v>14</v>
      </c>
      <c r="K5" s="5"/>
      <c r="L5" s="5"/>
    </row>
    <row r="6" customFormat="false" ht="22.35" hidden="false" customHeight="false" outlineLevel="0" collapsed="false">
      <c r="A6" s="3" t="n">
        <v>4</v>
      </c>
      <c r="B6" s="4" t="s">
        <v>13</v>
      </c>
      <c r="C6" s="5" t="s">
        <v>26</v>
      </c>
      <c r="D6" s="5" t="s">
        <v>27</v>
      </c>
      <c r="E6" s="5" t="s">
        <v>28</v>
      </c>
      <c r="F6" s="3" t="s">
        <v>17</v>
      </c>
      <c r="G6" s="3" t="n">
        <v>1</v>
      </c>
      <c r="H6" s="3" t="s">
        <v>18</v>
      </c>
      <c r="I6" s="6" t="n">
        <v>16</v>
      </c>
      <c r="J6" s="6" t="n">
        <f aca="false">G6*I6</f>
        <v>16</v>
      </c>
      <c r="K6" s="5"/>
      <c r="L6" s="5"/>
    </row>
    <row r="7" customFormat="false" ht="22.35" hidden="false" customHeight="false" outlineLevel="0" collapsed="false">
      <c r="A7" s="3" t="n">
        <v>5</v>
      </c>
      <c r="B7" s="4" t="s">
        <v>13</v>
      </c>
      <c r="C7" s="5" t="s">
        <v>29</v>
      </c>
      <c r="D7" s="5" t="s">
        <v>30</v>
      </c>
      <c r="E7" s="5" t="s">
        <v>31</v>
      </c>
      <c r="F7" s="3" t="s">
        <v>17</v>
      </c>
      <c r="G7" s="3" t="n">
        <v>1</v>
      </c>
      <c r="H7" s="3" t="s">
        <v>18</v>
      </c>
      <c r="I7" s="6" t="n">
        <v>38</v>
      </c>
      <c r="J7" s="6" t="n">
        <f aca="false">G7*I7</f>
        <v>38</v>
      </c>
      <c r="K7" s="5" t="s">
        <v>32</v>
      </c>
      <c r="L7" s="5"/>
    </row>
    <row r="8" customFormat="false" ht="15" hidden="false" customHeight="false" outlineLevel="0" collapsed="false">
      <c r="A8" s="3" t="n">
        <v>6</v>
      </c>
      <c r="B8" s="4" t="s">
        <v>13</v>
      </c>
      <c r="C8" s="5" t="s">
        <v>33</v>
      </c>
      <c r="D8" s="5" t="s">
        <v>34</v>
      </c>
      <c r="E8" s="5" t="s">
        <v>35</v>
      </c>
      <c r="F8" s="3" t="s">
        <v>17</v>
      </c>
      <c r="G8" s="3" t="n">
        <v>1</v>
      </c>
      <c r="H8" s="3" t="s">
        <v>18</v>
      </c>
      <c r="I8" s="6" t="n">
        <v>8</v>
      </c>
      <c r="J8" s="6" t="n">
        <f aca="false">G8*I8</f>
        <v>8</v>
      </c>
      <c r="K8" s="5"/>
      <c r="L8" s="5"/>
    </row>
    <row r="9" customFormat="false" ht="32.8" hidden="false" customHeight="false" outlineLevel="0" collapsed="false">
      <c r="A9" s="7" t="n">
        <v>7</v>
      </c>
      <c r="B9" s="8" t="s">
        <v>13</v>
      </c>
      <c r="C9" s="9" t="s">
        <v>36</v>
      </c>
      <c r="D9" s="9" t="s">
        <v>37</v>
      </c>
      <c r="E9" s="9" t="s">
        <v>38</v>
      </c>
      <c r="F9" s="7" t="s">
        <v>39</v>
      </c>
      <c r="G9" s="7" t="n">
        <v>1</v>
      </c>
      <c r="H9" s="7" t="s">
        <v>18</v>
      </c>
      <c r="I9" s="10" t="n">
        <v>70</v>
      </c>
      <c r="J9" s="10" t="n">
        <f aca="false">G9*I9</f>
        <v>70</v>
      </c>
      <c r="K9" s="9" t="s">
        <v>40</v>
      </c>
      <c r="L9" s="9"/>
    </row>
    <row r="10" customFormat="false" ht="74.6" hidden="false" customHeight="false" outlineLevel="0" collapsed="false">
      <c r="A10" s="3" t="n">
        <v>8</v>
      </c>
      <c r="B10" s="4" t="s">
        <v>41</v>
      </c>
      <c r="C10" s="5" t="s">
        <v>42</v>
      </c>
      <c r="D10" s="5" t="s">
        <v>43</v>
      </c>
      <c r="E10" s="5" t="s">
        <v>44</v>
      </c>
      <c r="F10" s="3" t="s">
        <v>17</v>
      </c>
      <c r="G10" s="3" t="n">
        <v>1</v>
      </c>
      <c r="H10" s="3" t="s">
        <v>18</v>
      </c>
      <c r="I10" s="6" t="n">
        <v>80</v>
      </c>
      <c r="J10" s="6" t="n">
        <f aca="false">G10*I10</f>
        <v>80</v>
      </c>
      <c r="K10" s="5" t="s">
        <v>45</v>
      </c>
      <c r="L10" s="5"/>
    </row>
    <row r="11" customFormat="false" ht="15" hidden="false" customHeight="false" outlineLevel="0" collapsed="false">
      <c r="A11" s="3" t="n">
        <v>9</v>
      </c>
      <c r="B11" s="4" t="s">
        <v>46</v>
      </c>
      <c r="C11" s="5" t="s">
        <v>47</v>
      </c>
      <c r="D11" s="5" t="s">
        <v>48</v>
      </c>
      <c r="E11" s="5" t="s">
        <v>49</v>
      </c>
      <c r="F11" s="3" t="s">
        <v>17</v>
      </c>
      <c r="G11" s="3" t="n">
        <v>1</v>
      </c>
      <c r="H11" s="3" t="s">
        <v>18</v>
      </c>
      <c r="I11" s="6" t="n">
        <v>12</v>
      </c>
      <c r="J11" s="6" t="n">
        <f aca="false">G11*I11</f>
        <v>12</v>
      </c>
      <c r="K11" s="5"/>
      <c r="L11" s="5"/>
    </row>
    <row r="12" customFormat="false" ht="43.25" hidden="false" customHeight="false" outlineLevel="0" collapsed="false">
      <c r="A12" s="7" t="n">
        <v>10</v>
      </c>
      <c r="B12" s="8" t="s">
        <v>46</v>
      </c>
      <c r="C12" s="9" t="s">
        <v>50</v>
      </c>
      <c r="D12" s="9" t="s">
        <v>51</v>
      </c>
      <c r="E12" s="9" t="s">
        <v>52</v>
      </c>
      <c r="F12" s="7" t="s">
        <v>39</v>
      </c>
      <c r="G12" s="7" t="n">
        <v>1</v>
      </c>
      <c r="H12" s="7" t="s">
        <v>18</v>
      </c>
      <c r="I12" s="10" t="n">
        <v>8</v>
      </c>
      <c r="J12" s="10" t="n">
        <f aca="false">G12*I12</f>
        <v>8</v>
      </c>
      <c r="K12" s="9" t="s">
        <v>53</v>
      </c>
      <c r="L12" s="9"/>
    </row>
    <row r="13" customFormat="false" ht="22.35" hidden="false" customHeight="false" outlineLevel="0" collapsed="false">
      <c r="A13" s="3" t="n">
        <v>11</v>
      </c>
      <c r="B13" s="4" t="s">
        <v>46</v>
      </c>
      <c r="C13" s="5" t="s">
        <v>54</v>
      </c>
      <c r="D13" s="5" t="s">
        <v>55</v>
      </c>
      <c r="E13" s="5" t="s">
        <v>56</v>
      </c>
      <c r="F13" s="3" t="s">
        <v>17</v>
      </c>
      <c r="G13" s="3" t="n">
        <v>1</v>
      </c>
      <c r="H13" s="3" t="s">
        <v>18</v>
      </c>
      <c r="I13" s="6" t="n">
        <v>3</v>
      </c>
      <c r="J13" s="6" t="n">
        <f aca="false">G13*I13</f>
        <v>3</v>
      </c>
      <c r="K13" s="5"/>
      <c r="L13" s="5"/>
    </row>
    <row r="14" customFormat="false" ht="22.35" hidden="false" customHeight="false" outlineLevel="0" collapsed="false">
      <c r="A14" s="3" t="n">
        <v>12</v>
      </c>
      <c r="B14" s="4" t="s">
        <v>46</v>
      </c>
      <c r="C14" s="5" t="s">
        <v>57</v>
      </c>
      <c r="D14" s="5" t="s">
        <v>58</v>
      </c>
      <c r="E14" s="5" t="s">
        <v>59</v>
      </c>
      <c r="F14" s="3" t="s">
        <v>17</v>
      </c>
      <c r="G14" s="3" t="n">
        <v>3</v>
      </c>
      <c r="H14" s="3" t="s">
        <v>18</v>
      </c>
      <c r="I14" s="6" t="n">
        <v>1</v>
      </c>
      <c r="J14" s="6" t="n">
        <f aca="false">G14*I14</f>
        <v>3</v>
      </c>
      <c r="K14" s="5"/>
      <c r="L14" s="5"/>
    </row>
    <row r="15" customFormat="false" ht="22.35" hidden="false" customHeight="false" outlineLevel="0" collapsed="false">
      <c r="A15" s="3" t="n">
        <v>13</v>
      </c>
      <c r="B15" s="4" t="s">
        <v>46</v>
      </c>
      <c r="C15" s="5" t="s">
        <v>60</v>
      </c>
      <c r="D15" s="5" t="s">
        <v>61</v>
      </c>
      <c r="E15" s="5" t="s">
        <v>62</v>
      </c>
      <c r="F15" s="3" t="s">
        <v>17</v>
      </c>
      <c r="G15" s="3" t="n">
        <v>1</v>
      </c>
      <c r="H15" s="3" t="s">
        <v>18</v>
      </c>
      <c r="I15" s="6" t="n">
        <v>5</v>
      </c>
      <c r="J15" s="6" t="n">
        <f aca="false">G15*I15</f>
        <v>5</v>
      </c>
      <c r="K15" s="5"/>
      <c r="L15" s="5"/>
    </row>
    <row r="16" customFormat="false" ht="22.35" hidden="false" customHeight="false" outlineLevel="0" collapsed="false">
      <c r="A16" s="7" t="n">
        <v>14</v>
      </c>
      <c r="B16" s="8" t="s">
        <v>63</v>
      </c>
      <c r="C16" s="9" t="s">
        <v>64</v>
      </c>
      <c r="D16" s="9" t="s">
        <v>65</v>
      </c>
      <c r="E16" s="9" t="s">
        <v>66</v>
      </c>
      <c r="F16" s="7" t="s">
        <v>39</v>
      </c>
      <c r="G16" s="7" t="n">
        <v>1</v>
      </c>
      <c r="H16" s="7" t="s">
        <v>18</v>
      </c>
      <c r="I16" s="10" t="n">
        <v>30</v>
      </c>
      <c r="J16" s="10" t="n">
        <f aca="false">G16*I16</f>
        <v>30</v>
      </c>
      <c r="K16" s="9" t="s">
        <v>67</v>
      </c>
      <c r="L16" s="9"/>
    </row>
    <row r="17" customFormat="false" ht="22.35" hidden="false" customHeight="false" outlineLevel="0" collapsed="false">
      <c r="A17" s="7" t="n">
        <v>15</v>
      </c>
      <c r="B17" s="8" t="s">
        <v>63</v>
      </c>
      <c r="C17" s="9" t="s">
        <v>68</v>
      </c>
      <c r="D17" s="9" t="s">
        <v>69</v>
      </c>
      <c r="E17" s="9" t="s">
        <v>70</v>
      </c>
      <c r="F17" s="7" t="s">
        <v>39</v>
      </c>
      <c r="G17" s="7" t="n">
        <v>2</v>
      </c>
      <c r="H17" s="7" t="s">
        <v>18</v>
      </c>
      <c r="I17" s="10" t="n">
        <v>6</v>
      </c>
      <c r="J17" s="10" t="n">
        <f aca="false">G17*I17</f>
        <v>12</v>
      </c>
      <c r="K17" s="9" t="s">
        <v>67</v>
      </c>
      <c r="L17" s="9"/>
    </row>
    <row r="18" customFormat="false" ht="22.35" hidden="false" customHeight="false" outlineLevel="0" collapsed="false">
      <c r="A18" s="7" t="n">
        <v>16</v>
      </c>
      <c r="B18" s="8" t="s">
        <v>71</v>
      </c>
      <c r="C18" s="9" t="s">
        <v>72</v>
      </c>
      <c r="D18" s="9" t="s">
        <v>73</v>
      </c>
      <c r="E18" s="9" t="s">
        <v>74</v>
      </c>
      <c r="F18" s="7" t="s">
        <v>39</v>
      </c>
      <c r="G18" s="7" t="n">
        <v>1</v>
      </c>
      <c r="H18" s="7" t="s">
        <v>18</v>
      </c>
      <c r="I18" s="10" t="n">
        <v>9</v>
      </c>
      <c r="J18" s="10" t="n">
        <f aca="false">G18*I18</f>
        <v>9</v>
      </c>
      <c r="K18" s="9" t="s">
        <v>67</v>
      </c>
      <c r="L18" s="9"/>
    </row>
    <row r="19" customFormat="false" ht="32.8" hidden="false" customHeight="false" outlineLevel="0" collapsed="false">
      <c r="A19" s="3" t="n">
        <v>17</v>
      </c>
      <c r="B19" s="4" t="s">
        <v>75</v>
      </c>
      <c r="C19" s="5" t="s">
        <v>76</v>
      </c>
      <c r="D19" s="5" t="s">
        <v>77</v>
      </c>
      <c r="E19" s="5" t="s">
        <v>78</v>
      </c>
      <c r="F19" s="3" t="s">
        <v>17</v>
      </c>
      <c r="G19" s="3" t="n">
        <v>1</v>
      </c>
      <c r="H19" s="3" t="s">
        <v>79</v>
      </c>
      <c r="I19" s="6" t="n">
        <v>8</v>
      </c>
      <c r="J19" s="6" t="n">
        <f aca="false">G19*I19</f>
        <v>8</v>
      </c>
      <c r="K19" s="5" t="s">
        <v>80</v>
      </c>
      <c r="L19" s="5"/>
    </row>
    <row r="20" customFormat="false" ht="22.35" hidden="false" customHeight="false" outlineLevel="0" collapsed="false">
      <c r="A20" s="3" t="n">
        <v>18</v>
      </c>
      <c r="B20" s="4" t="s">
        <v>75</v>
      </c>
      <c r="C20" s="5" t="s">
        <v>81</v>
      </c>
      <c r="D20" s="5" t="s">
        <v>82</v>
      </c>
      <c r="E20" s="5" t="s">
        <v>83</v>
      </c>
      <c r="F20" s="3" t="s">
        <v>17</v>
      </c>
      <c r="G20" s="3" t="n">
        <v>1</v>
      </c>
      <c r="H20" s="3" t="s">
        <v>79</v>
      </c>
      <c r="I20" s="6" t="n">
        <v>3</v>
      </c>
      <c r="J20" s="6" t="n">
        <f aca="false">G20*I20</f>
        <v>3</v>
      </c>
      <c r="K20" s="5"/>
      <c r="L20" s="5"/>
    </row>
    <row r="21" customFormat="false" ht="22.35" hidden="false" customHeight="false" outlineLevel="0" collapsed="false">
      <c r="A21" s="3" t="n">
        <v>19</v>
      </c>
      <c r="B21" s="4" t="s">
        <v>75</v>
      </c>
      <c r="C21" s="5" t="s">
        <v>84</v>
      </c>
      <c r="D21" s="5" t="s">
        <v>85</v>
      </c>
      <c r="E21" s="5" t="s">
        <v>86</v>
      </c>
      <c r="F21" s="3" t="s">
        <v>17</v>
      </c>
      <c r="G21" s="3" t="n">
        <v>1</v>
      </c>
      <c r="H21" s="3" t="s">
        <v>18</v>
      </c>
      <c r="I21" s="6" t="n">
        <v>3</v>
      </c>
      <c r="J21" s="6" t="n">
        <f aca="false">G21*I21</f>
        <v>3</v>
      </c>
      <c r="K21" s="5"/>
      <c r="L21" s="5"/>
    </row>
    <row r="22" customFormat="false" ht="22.35" hidden="false" customHeight="false" outlineLevel="0" collapsed="false">
      <c r="A22" s="3" t="n">
        <v>20</v>
      </c>
      <c r="B22" s="4" t="s">
        <v>75</v>
      </c>
      <c r="C22" s="5" t="s">
        <v>87</v>
      </c>
      <c r="D22" s="5" t="s">
        <v>88</v>
      </c>
      <c r="E22" s="5" t="s">
        <v>89</v>
      </c>
      <c r="F22" s="3" t="s">
        <v>17</v>
      </c>
      <c r="G22" s="3" t="n">
        <v>1</v>
      </c>
      <c r="H22" s="3" t="s">
        <v>79</v>
      </c>
      <c r="I22" s="6" t="n">
        <v>2</v>
      </c>
      <c r="J22" s="6" t="n">
        <f aca="false">G22*I22</f>
        <v>2</v>
      </c>
      <c r="K22" s="5"/>
      <c r="L22" s="5"/>
    </row>
    <row r="23" customFormat="false" ht="15" hidden="false" customHeight="false" outlineLevel="0" collapsed="false">
      <c r="A23" s="3" t="n">
        <v>21</v>
      </c>
      <c r="B23" s="4" t="s">
        <v>75</v>
      </c>
      <c r="C23" s="5" t="s">
        <v>90</v>
      </c>
      <c r="D23" s="5" t="s">
        <v>91</v>
      </c>
      <c r="E23" s="5" t="s">
        <v>92</v>
      </c>
      <c r="F23" s="3" t="s">
        <v>17</v>
      </c>
      <c r="G23" s="3" t="n">
        <v>1</v>
      </c>
      <c r="H23" s="3" t="s">
        <v>79</v>
      </c>
      <c r="I23" s="6" t="n">
        <v>3</v>
      </c>
      <c r="J23" s="6" t="n">
        <f aca="false">G23*I23</f>
        <v>3</v>
      </c>
      <c r="K23" s="5"/>
      <c r="L23" s="5"/>
    </row>
    <row r="24" customFormat="false" ht="15" hidden="false" customHeight="false" outlineLevel="0" collapsed="false">
      <c r="A24" s="3" t="n">
        <v>22</v>
      </c>
      <c r="B24" s="4" t="s">
        <v>75</v>
      </c>
      <c r="C24" s="5" t="s">
        <v>93</v>
      </c>
      <c r="D24" s="5" t="s">
        <v>94</v>
      </c>
      <c r="E24" s="5" t="s">
        <v>95</v>
      </c>
      <c r="F24" s="3" t="s">
        <v>17</v>
      </c>
      <c r="G24" s="3" t="n">
        <v>1</v>
      </c>
      <c r="H24" s="3" t="s">
        <v>79</v>
      </c>
      <c r="I24" s="6" t="n">
        <v>5</v>
      </c>
      <c r="J24" s="6" t="n">
        <f aca="false">G24*I24</f>
        <v>5</v>
      </c>
      <c r="K24" s="5"/>
      <c r="L24" s="5"/>
    </row>
    <row r="25" customFormat="false" ht="15" hidden="false" customHeight="false" outlineLevel="0" collapsed="false">
      <c r="A25" s="3" t="n">
        <v>23</v>
      </c>
      <c r="B25" s="4" t="s">
        <v>75</v>
      </c>
      <c r="C25" s="5" t="s">
        <v>96</v>
      </c>
      <c r="D25" s="5" t="s">
        <v>97</v>
      </c>
      <c r="E25" s="5" t="s">
        <v>98</v>
      </c>
      <c r="F25" s="3" t="s">
        <v>17</v>
      </c>
      <c r="G25" s="3" t="n">
        <v>1</v>
      </c>
      <c r="H25" s="3" t="s">
        <v>79</v>
      </c>
      <c r="I25" s="6" t="n">
        <v>2</v>
      </c>
      <c r="J25" s="6" t="n">
        <f aca="false">G25*I25</f>
        <v>2</v>
      </c>
      <c r="K25" s="5"/>
      <c r="L25" s="5"/>
    </row>
    <row r="26" customFormat="false" ht="22.35" hidden="false" customHeight="false" outlineLevel="0" collapsed="false">
      <c r="A26" s="3" t="n">
        <v>24</v>
      </c>
      <c r="B26" s="4" t="s">
        <v>99</v>
      </c>
      <c r="C26" s="5" t="s">
        <v>100</v>
      </c>
      <c r="D26" s="5" t="s">
        <v>101</v>
      </c>
      <c r="E26" s="5" t="s">
        <v>102</v>
      </c>
      <c r="F26" s="3" t="s">
        <v>17</v>
      </c>
      <c r="G26" s="3" t="n">
        <v>1</v>
      </c>
      <c r="H26" s="3" t="s">
        <v>79</v>
      </c>
      <c r="I26" s="6" t="n">
        <v>25</v>
      </c>
      <c r="J26" s="6" t="n">
        <f aca="false">G26*I26</f>
        <v>25</v>
      </c>
      <c r="K26" s="5" t="s">
        <v>103</v>
      </c>
      <c r="L26" s="5"/>
    </row>
    <row r="27" customFormat="false" ht="15" hidden="false" customHeight="false" outlineLevel="0" collapsed="false">
      <c r="I27" s="11" t="s">
        <v>104</v>
      </c>
      <c r="J27" s="12" t="n">
        <f aca="false">SUMIF(F3:F26,"База",J3:J26)</f>
        <v>356</v>
      </c>
    </row>
    <row r="28" customFormat="false" ht="15" hidden="false" customHeight="false" outlineLevel="0" collapsed="false">
      <c r="I28" s="11" t="s">
        <v>105</v>
      </c>
      <c r="J28" s="12" t="n">
        <f aca="false">SUMIF(F3:F26,"Опция",J3:J26)</f>
        <v>129</v>
      </c>
    </row>
    <row r="29" customFormat="false" ht="15" hidden="false" customHeight="false" outlineLevel="0" collapsed="false">
      <c r="I29" s="11" t="s">
        <v>106</v>
      </c>
      <c r="J29" s="12" t="n">
        <f aca="false">SUM(J3:J26)</f>
        <v>485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5" min="4" style="0" width="30"/>
    <col collapsed="false" customWidth="true" hidden="false" outlineLevel="0" max="7" min="6" style="0" width="7"/>
    <col collapsed="false" customWidth="true" hidden="false" outlineLevel="0" max="8" min="8" style="0" width="6"/>
    <col collapsed="false" customWidth="true" hidden="false" outlineLevel="0" max="10" min="9" style="0" width="11"/>
    <col collapsed="false" customWidth="true" hidden="false" outlineLevel="0" max="11" min="11" style="0" width="20"/>
    <col collapsed="false" customWidth="true" hidden="false" outlineLevel="0" max="12" min="12" style="0" width="38"/>
  </cols>
  <sheetData>
    <row r="1" customFormat="false" ht="21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43.25" hidden="false" customHeight="false" outlineLevel="0" collapsed="false">
      <c r="A3" s="3" t="n">
        <v>1</v>
      </c>
      <c r="B3" s="4" t="s">
        <v>13</v>
      </c>
      <c r="C3" s="5" t="s">
        <v>108</v>
      </c>
      <c r="D3" s="5" t="s">
        <v>109</v>
      </c>
      <c r="E3" s="5" t="s">
        <v>110</v>
      </c>
      <c r="F3" s="3" t="s">
        <v>17</v>
      </c>
      <c r="G3" s="3" t="n">
        <v>1</v>
      </c>
      <c r="H3" s="3" t="s">
        <v>18</v>
      </c>
      <c r="I3" s="6" t="n">
        <v>18</v>
      </c>
      <c r="J3" s="6" t="n">
        <f aca="false">G3*I3</f>
        <v>18</v>
      </c>
      <c r="K3" s="5" t="s">
        <v>111</v>
      </c>
      <c r="L3" s="5"/>
    </row>
    <row r="4" customFormat="false" ht="15" hidden="false" customHeight="false" outlineLevel="0" collapsed="false">
      <c r="A4" s="3" t="n">
        <v>2</v>
      </c>
      <c r="B4" s="4" t="s">
        <v>13</v>
      </c>
      <c r="C4" s="5" t="s">
        <v>112</v>
      </c>
      <c r="D4" s="5" t="s">
        <v>113</v>
      </c>
      <c r="E4" s="5" t="s">
        <v>114</v>
      </c>
      <c r="F4" s="3" t="s">
        <v>17</v>
      </c>
      <c r="G4" s="3" t="n">
        <v>1</v>
      </c>
      <c r="H4" s="3" t="s">
        <v>18</v>
      </c>
      <c r="I4" s="6" t="n">
        <v>8</v>
      </c>
      <c r="J4" s="6" t="n">
        <f aca="false">G4*I4</f>
        <v>8</v>
      </c>
      <c r="K4" s="5"/>
      <c r="L4" s="5"/>
    </row>
    <row r="5" customFormat="false" ht="15" hidden="false" customHeight="false" outlineLevel="0" collapsed="false">
      <c r="A5" s="3" t="n">
        <v>3</v>
      </c>
      <c r="B5" s="4" t="s">
        <v>13</v>
      </c>
      <c r="C5" s="5" t="s">
        <v>115</v>
      </c>
      <c r="D5" s="5" t="s">
        <v>116</v>
      </c>
      <c r="E5" s="5" t="s">
        <v>35</v>
      </c>
      <c r="F5" s="3" t="s">
        <v>17</v>
      </c>
      <c r="G5" s="3" t="n">
        <v>1</v>
      </c>
      <c r="H5" s="3" t="s">
        <v>18</v>
      </c>
      <c r="I5" s="6" t="n">
        <v>6</v>
      </c>
      <c r="J5" s="6" t="n">
        <f aca="false">G5*I5</f>
        <v>6</v>
      </c>
      <c r="K5" s="5"/>
      <c r="L5" s="5"/>
    </row>
    <row r="6" customFormat="false" ht="32.8" hidden="false" customHeight="false" outlineLevel="0" collapsed="false">
      <c r="A6" s="3" t="n">
        <v>4</v>
      </c>
      <c r="B6" s="4" t="s">
        <v>41</v>
      </c>
      <c r="C6" s="5" t="s">
        <v>42</v>
      </c>
      <c r="D6" s="5" t="s">
        <v>117</v>
      </c>
      <c r="E6" s="5" t="s">
        <v>118</v>
      </c>
      <c r="F6" s="3" t="s">
        <v>17</v>
      </c>
      <c r="G6" s="3" t="n">
        <v>1</v>
      </c>
      <c r="H6" s="3" t="s">
        <v>18</v>
      </c>
      <c r="I6" s="6" t="n">
        <v>80</v>
      </c>
      <c r="J6" s="6" t="n">
        <f aca="false">G6*I6</f>
        <v>80</v>
      </c>
      <c r="K6" s="5"/>
      <c r="L6" s="5"/>
    </row>
    <row r="7" customFormat="false" ht="15" hidden="false" customHeight="false" outlineLevel="0" collapsed="false">
      <c r="A7" s="3" t="n">
        <v>5</v>
      </c>
      <c r="B7" s="4" t="s">
        <v>46</v>
      </c>
      <c r="C7" s="5" t="s">
        <v>119</v>
      </c>
      <c r="D7" s="5" t="s">
        <v>120</v>
      </c>
      <c r="E7" s="5" t="s">
        <v>121</v>
      </c>
      <c r="F7" s="3" t="s">
        <v>17</v>
      </c>
      <c r="G7" s="3" t="n">
        <v>1</v>
      </c>
      <c r="H7" s="3" t="s">
        <v>18</v>
      </c>
      <c r="I7" s="6" t="n">
        <v>4</v>
      </c>
      <c r="J7" s="6" t="n">
        <f aca="false">G7*I7</f>
        <v>4</v>
      </c>
      <c r="K7" s="5"/>
      <c r="L7" s="5"/>
    </row>
    <row r="8" customFormat="false" ht="15" hidden="false" customHeight="false" outlineLevel="0" collapsed="false">
      <c r="A8" s="3" t="n">
        <v>6</v>
      </c>
      <c r="B8" s="4" t="s">
        <v>46</v>
      </c>
      <c r="C8" s="5" t="s">
        <v>122</v>
      </c>
      <c r="D8" s="5" t="s">
        <v>123</v>
      </c>
      <c r="E8" s="5" t="s">
        <v>124</v>
      </c>
      <c r="F8" s="3" t="s">
        <v>17</v>
      </c>
      <c r="G8" s="3" t="n">
        <v>1</v>
      </c>
      <c r="H8" s="3" t="s">
        <v>18</v>
      </c>
      <c r="I8" s="6" t="n">
        <v>3</v>
      </c>
      <c r="J8" s="6" t="n">
        <f aca="false">G8*I8</f>
        <v>3</v>
      </c>
      <c r="K8" s="5"/>
      <c r="L8" s="5"/>
    </row>
    <row r="9" customFormat="false" ht="15" hidden="false" customHeight="false" outlineLevel="0" collapsed="false">
      <c r="A9" s="3" t="n">
        <v>7</v>
      </c>
      <c r="B9" s="4" t="s">
        <v>75</v>
      </c>
      <c r="C9" s="5" t="s">
        <v>76</v>
      </c>
      <c r="D9" s="5" t="s">
        <v>125</v>
      </c>
      <c r="E9" s="5" t="s">
        <v>126</v>
      </c>
      <c r="F9" s="3" t="s">
        <v>17</v>
      </c>
      <c r="G9" s="3" t="n">
        <v>1</v>
      </c>
      <c r="H9" s="3" t="s">
        <v>79</v>
      </c>
      <c r="I9" s="6" t="n">
        <v>8</v>
      </c>
      <c r="J9" s="6" t="n">
        <f aca="false">G9*I9</f>
        <v>8</v>
      </c>
      <c r="K9" s="5"/>
      <c r="L9" s="5"/>
    </row>
    <row r="10" customFormat="false" ht="15" hidden="false" customHeight="false" outlineLevel="0" collapsed="false">
      <c r="A10" s="3" t="n">
        <v>8</v>
      </c>
      <c r="B10" s="4" t="s">
        <v>75</v>
      </c>
      <c r="C10" s="5" t="s">
        <v>127</v>
      </c>
      <c r="D10" s="5" t="s">
        <v>99</v>
      </c>
      <c r="E10" s="5" t="s">
        <v>128</v>
      </c>
      <c r="F10" s="3" t="s">
        <v>17</v>
      </c>
      <c r="G10" s="3" t="n">
        <v>1</v>
      </c>
      <c r="H10" s="3" t="s">
        <v>79</v>
      </c>
      <c r="I10" s="6" t="n">
        <v>5</v>
      </c>
      <c r="J10" s="6" t="n">
        <f aca="false">G10*I10</f>
        <v>5</v>
      </c>
      <c r="K10" s="5"/>
      <c r="L10" s="5"/>
    </row>
    <row r="11" customFormat="false" ht="15" hidden="false" customHeight="false" outlineLevel="0" collapsed="false">
      <c r="A11" s="3" t="n">
        <v>9</v>
      </c>
      <c r="B11" s="4" t="s">
        <v>99</v>
      </c>
      <c r="C11" s="5" t="s">
        <v>100</v>
      </c>
      <c r="D11" s="5" t="s">
        <v>129</v>
      </c>
      <c r="E11" s="5" t="s">
        <v>102</v>
      </c>
      <c r="F11" s="3" t="s">
        <v>17</v>
      </c>
      <c r="G11" s="3" t="n">
        <v>1</v>
      </c>
      <c r="H11" s="3" t="s">
        <v>79</v>
      </c>
      <c r="I11" s="6" t="n">
        <v>15</v>
      </c>
      <c r="J11" s="6" t="n">
        <f aca="false">G11*I11</f>
        <v>15</v>
      </c>
      <c r="K11" s="5"/>
      <c r="L11" s="5"/>
    </row>
    <row r="12" customFormat="false" ht="15" hidden="false" customHeight="false" outlineLevel="0" collapsed="false">
      <c r="I12" s="11" t="s">
        <v>104</v>
      </c>
      <c r="J12" s="12" t="n">
        <f aca="false">SUMIF(F3:F11,"База",J3:J11)</f>
        <v>147</v>
      </c>
    </row>
    <row r="13" customFormat="false" ht="15" hidden="false" customHeight="false" outlineLevel="0" collapsed="false">
      <c r="I13" s="11" t="s">
        <v>105</v>
      </c>
      <c r="J13" s="12" t="n">
        <f aca="false">SUMIF(F3:F11,"Опция",J3:J11)</f>
        <v>0</v>
      </c>
    </row>
    <row r="14" customFormat="false" ht="15" hidden="false" customHeight="false" outlineLevel="0" collapsed="false">
      <c r="I14" s="11" t="s">
        <v>106</v>
      </c>
      <c r="J14" s="12" t="n">
        <f aca="false">SUM(J3:J11)</f>
        <v>147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50"/>
  </cols>
  <sheetData>
    <row r="1" customFormat="false" ht="16.15" hidden="false" customHeight="false" outlineLevel="0" collapsed="false">
      <c r="B1" s="13" t="s">
        <v>130</v>
      </c>
    </row>
    <row r="3" customFormat="false" ht="15" hidden="false" customHeight="false" outlineLevel="0" collapsed="false">
      <c r="B3" s="14" t="s">
        <v>131</v>
      </c>
      <c r="C3" s="15" t="n">
        <v>95</v>
      </c>
      <c r="D3" s="16" t="s">
        <v>132</v>
      </c>
    </row>
    <row r="5" customFormat="false" ht="15" hidden="false" customHeight="false" outlineLevel="0" collapsed="false">
      <c r="B5" s="17" t="s">
        <v>133</v>
      </c>
    </row>
    <row r="6" customFormat="false" ht="15" hidden="false" customHeight="false" outlineLevel="0" collapsed="false">
      <c r="B6" s="18" t="s">
        <v>134</v>
      </c>
      <c r="C6" s="18" t="s">
        <v>10</v>
      </c>
      <c r="D6" s="18" t="s">
        <v>135</v>
      </c>
      <c r="E6" s="18"/>
    </row>
    <row r="7" customFormat="false" ht="15" hidden="false" customHeight="false" outlineLevel="0" collapsed="false">
      <c r="B7" s="19" t="s">
        <v>136</v>
      </c>
      <c r="C7" s="20" t="n">
        <f aca="false">'BOM Edge (Pi 5)'!J27</f>
        <v>356</v>
      </c>
      <c r="D7" s="21" t="n">
        <f aca="false">C7*$C$3</f>
        <v>33820</v>
      </c>
    </row>
    <row r="8" customFormat="false" ht="15" hidden="false" customHeight="false" outlineLevel="0" collapsed="false">
      <c r="B8" s="19" t="s">
        <v>137</v>
      </c>
      <c r="C8" s="20" t="n">
        <f aca="false">'BOM Edge (Pi 5)'!J28</f>
        <v>129</v>
      </c>
      <c r="D8" s="21" t="n">
        <f aca="false">C8*$C$3</f>
        <v>12255</v>
      </c>
    </row>
    <row r="9" customFormat="false" ht="15" hidden="false" customHeight="false" outlineLevel="0" collapsed="false">
      <c r="B9" s="19" t="s">
        <v>138</v>
      </c>
      <c r="C9" s="20" t="n">
        <f aca="false">'BOM Edge (Pi 5)'!J29</f>
        <v>485</v>
      </c>
      <c r="D9" s="21" t="n">
        <f aca="false">C9*$C$3</f>
        <v>46075</v>
      </c>
    </row>
    <row r="10" customFormat="false" ht="15" hidden="false" customHeight="false" outlineLevel="0" collapsed="false">
      <c r="B10" s="19" t="s">
        <v>139</v>
      </c>
      <c r="C10" s="20" t="n">
        <f aca="false">'BOM тонкое устройство'!J14</f>
        <v>147</v>
      </c>
      <c r="D10" s="21" t="n">
        <f aca="false">C10*$C$3</f>
        <v>13965</v>
      </c>
    </row>
    <row r="12" customFormat="false" ht="15" hidden="false" customHeight="false" outlineLevel="0" collapsed="false">
      <c r="B12" s="17" t="s">
        <v>140</v>
      </c>
    </row>
    <row r="13" customFormat="false" ht="15" hidden="false" customHeight="false" outlineLevel="0" collapsed="false">
      <c r="B13" s="22" t="s">
        <v>141</v>
      </c>
    </row>
    <row r="14" customFormat="false" ht="15" hidden="false" customHeight="false" outlineLevel="0" collapsed="false">
      <c r="B14" s="22" t="s">
        <v>142</v>
      </c>
    </row>
    <row r="15" customFormat="false" ht="15" hidden="false" customHeight="false" outlineLevel="0" collapsed="false">
      <c r="B15" s="22" t="s">
        <v>143</v>
      </c>
    </row>
    <row r="16" customFormat="false" ht="15" hidden="false" customHeight="false" outlineLevel="0" collapsed="false">
      <c r="B16" s="22" t="s">
        <v>144</v>
      </c>
    </row>
    <row r="17" customFormat="false" ht="15" hidden="false" customHeight="false" outlineLevel="0" collapsed="false">
      <c r="B17" s="22" t="s">
        <v>145</v>
      </c>
    </row>
    <row r="18" customFormat="false" ht="15" hidden="false" customHeight="false" outlineLevel="0" collapsed="false">
      <c r="B18" s="22" t="s">
        <v>146</v>
      </c>
    </row>
    <row r="19" customFormat="false" ht="15" hidden="false" customHeight="false" outlineLevel="0" collapsed="false">
      <c r="B19" s="22" t="s">
        <v>147</v>
      </c>
    </row>
    <row r="21" customFormat="false" ht="15" hidden="false" customHeight="false" outlineLevel="0" collapsed="false">
      <c r="B21" s="17" t="s">
        <v>148</v>
      </c>
    </row>
    <row r="22" customFormat="false" ht="15" hidden="false" customHeight="false" outlineLevel="0" collapsed="false">
      <c r="B22" s="23" t="s">
        <v>149</v>
      </c>
      <c r="C22" s="24" t="s">
        <v>150</v>
      </c>
    </row>
    <row r="23" customFormat="false" ht="15" hidden="false" customHeight="false" outlineLevel="0" collapsed="false">
      <c r="B23" s="23" t="s">
        <v>151</v>
      </c>
      <c r="C23" s="24" t="s">
        <v>152</v>
      </c>
    </row>
    <row r="24" customFormat="false" ht="15" hidden="false" customHeight="false" outlineLevel="0" collapsed="false">
      <c r="B24" s="23" t="s">
        <v>153</v>
      </c>
      <c r="C24" s="24" t="s">
        <v>154</v>
      </c>
    </row>
    <row r="27" customFormat="false" ht="15" hidden="false" customHeight="false" outlineLevel="0" collapsed="false">
      <c r="B27" s="17" t="s">
        <v>155</v>
      </c>
    </row>
    <row r="28" customFormat="false" ht="15" hidden="false" customHeight="false" outlineLevel="0" collapsed="false">
      <c r="B28" s="23" t="s">
        <v>156</v>
      </c>
    </row>
    <row r="29" customFormat="false" ht="15" hidden="false" customHeight="false" outlineLevel="0" collapsed="false">
      <c r="B29" s="23" t="s">
        <v>157</v>
      </c>
    </row>
    <row r="30" customFormat="false" ht="15" hidden="false" customHeight="false" outlineLevel="0" collapsed="false">
      <c r="B30" s="23" t="s">
        <v>158</v>
      </c>
    </row>
    <row r="31" customFormat="false" ht="15" hidden="false" customHeight="false" outlineLevel="0" collapsed="false">
      <c r="B31" s="2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2026-06-26T14:35:11Z</dcterms:created>
  <dc:creator>openpyxl</dc:creator>
  <dc:description/>
  <dc:language>en-US</dc:language>
  <cp:lastModifiedBy/>
  <dcterms:modified xsi:type="dcterms:W3CDTF">2026-06-26T14:35:11Z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